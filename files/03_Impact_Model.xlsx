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ssumptions" sheetId="2" state="visible" r:id="rId2"/>
    <sheet xmlns:r="http://schemas.openxmlformats.org/officeDocument/2006/relationships" name="Lens funnel" sheetId="3" state="visible" r:id="rId3"/>
    <sheet xmlns:r="http://schemas.openxmlformats.org/officeDocument/2006/relationships" name="Smart Rates" sheetId="4" state="visible" r:id="rId4"/>
    <sheet xmlns:r="http://schemas.openxmlformats.org/officeDocument/2006/relationships" name="Scenario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quot;S$&quot;#,##0.00"/>
    <numFmt numFmtId="167" formatCode="&quot;S$&quot;#,##0"/>
    <numFmt numFmtId="168" formatCode="0.0&quot;x&quot;"/>
    <numFmt numFmtId="169" formatCode="0.000"/>
    <numFmt numFmtId="170" formatCode="&quot;S$&quot;0.00"/>
  </numFmts>
  <fonts count="13">
    <font>
      <name val="Calibri"/>
      <family val="2"/>
      <color theme="1"/>
      <sz val="11"/>
      <scheme val="minor"/>
    </font>
    <font>
      <name val="Calibri"/>
      <b val="1"/>
      <color rgb="00FFFFFF"/>
      <sz val="16"/>
    </font>
    <font>
      <name val="Calibri"/>
      <i val="1"/>
      <color rgb="005A6270"/>
      <sz val="9"/>
    </font>
    <font>
      <name val="Calibri"/>
      <b val="1"/>
      <color rgb="00FF4E17"/>
      <sz val="12"/>
    </font>
    <font>
      <name val="Calibri"/>
      <color rgb="0016181D"/>
      <sz val="11"/>
    </font>
    <font>
      <name val="Calibri"/>
      <b val="1"/>
      <color rgb="00FFFFFF"/>
      <sz val="11"/>
    </font>
    <font>
      <name val="Consolas"/>
      <b val="1"/>
      <color rgb="00FF4E17"/>
      <sz val="10"/>
    </font>
    <font>
      <name val="Calibri"/>
      <b val="1"/>
      <color rgb="0016181D"/>
      <sz val="11"/>
    </font>
    <font>
      <name val="Calibri"/>
      <color rgb="005A6270"/>
      <sz val="9"/>
    </font>
    <font>
      <name val="Consolas"/>
      <color rgb="00FF4E17"/>
      <sz val="9"/>
    </font>
    <font>
      <name val="Calibri"/>
      <b val="1"/>
      <color rgb="00FF4E17"/>
      <sz val="14"/>
    </font>
    <font>
      <name val="Calibri"/>
      <b val="1"/>
      <color rgb="00FFFFFF"/>
      <sz val="9"/>
    </font>
    <font>
      <name val="Calibri"/>
      <b val="1"/>
      <color rgb="0016181D"/>
      <sz val="9"/>
    </font>
  </fonts>
  <fills count="10">
    <fill>
      <patternFill/>
    </fill>
    <fill>
      <patternFill patternType="gray125"/>
    </fill>
    <fill>
      <patternFill patternType="solid">
        <fgColor rgb="00FF4E17"/>
      </patternFill>
    </fill>
    <fill>
      <patternFill patternType="solid">
        <fgColor rgb="0016181D"/>
      </patternFill>
    </fill>
    <fill>
      <patternFill patternType="solid">
        <fgColor rgb="00FFF4E8"/>
      </patternFill>
    </fill>
    <fill>
      <patternFill patternType="solid">
        <fgColor rgb="00EDEFF3"/>
      </patternFill>
    </fill>
    <fill>
      <patternFill patternType="solid">
        <fgColor rgb="00FFE2E2"/>
      </patternFill>
    </fill>
    <fill>
      <patternFill patternType="solid">
        <fgColor rgb="00E6F4EA"/>
      </patternFill>
    </fill>
    <fill>
      <patternFill patternType="solid">
        <fgColor rgb="00F5F6F8"/>
      </patternFill>
    </fill>
    <fill>
      <patternFill patternType="solid">
        <fgColor rgb="00B3261E"/>
      </patternFill>
    </fill>
  </fills>
  <borders count="2">
    <border>
      <left/>
      <right/>
      <top/>
      <bottom/>
      <diagonal/>
    </border>
    <border>
      <left style="thin">
        <color rgb="00D4D8DF"/>
      </left>
      <right style="thin">
        <color rgb="00D4D8DF"/>
      </right>
      <top style="thin">
        <color rgb="00D4D8DF"/>
      </top>
      <bottom style="thin">
        <color rgb="00D4D8DF"/>
      </bottom>
    </border>
  </borders>
  <cellStyleXfs count="1">
    <xf numFmtId="0" fontId="0" fillId="0" borderId="0"/>
  </cellStyleXfs>
  <cellXfs count="52">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inden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left" vertical="center" wrapText="1" indent="1"/>
    </xf>
    <xf numFmtId="0" fontId="6" fillId="0" borderId="1" pivotButton="0" quotePrefix="0" xfId="0"/>
    <xf numFmtId="0" fontId="4" fillId="0" borderId="1" applyAlignment="1" pivotButton="0" quotePrefix="0" xfId="0">
      <alignment vertical="top" wrapText="1"/>
    </xf>
    <xf numFmtId="3" fontId="7" fillId="4" borderId="1" applyAlignment="1" pivotButton="0" quotePrefix="0" xfId="0">
      <alignment horizontal="center" vertical="center"/>
    </xf>
    <xf numFmtId="0" fontId="8" fillId="0" borderId="1" pivotButton="0" quotePrefix="0" xfId="0"/>
    <xf numFmtId="0" fontId="8" fillId="5" borderId="1" applyAlignment="1" pivotButton="0" quotePrefix="0" xfId="0">
      <alignment horizontal="center" vertical="center"/>
    </xf>
    <xf numFmtId="0" fontId="8" fillId="0" borderId="1" applyAlignment="1" pivotButton="0" quotePrefix="0" xfId="0">
      <alignment vertical="top" wrapText="1"/>
    </xf>
    <xf numFmtId="164" fontId="7" fillId="4" borderId="1" applyAlignment="1" pivotButton="0" quotePrefix="0" xfId="0">
      <alignment horizontal="center" vertical="center"/>
    </xf>
    <xf numFmtId="0" fontId="8" fillId="6" borderId="1" applyAlignment="1" pivotButton="0" quotePrefix="0" xfId="0">
      <alignment horizontal="center" vertical="center"/>
    </xf>
    <xf numFmtId="165" fontId="7" fillId="4" borderId="1" applyAlignment="1" pivotButton="0" quotePrefix="0" xfId="0">
      <alignment horizontal="center" vertical="center"/>
    </xf>
    <xf numFmtId="0" fontId="8" fillId="7" borderId="1" applyAlignment="1" pivotButton="0" quotePrefix="0" xfId="0">
      <alignment horizontal="center" vertical="center"/>
    </xf>
    <xf numFmtId="166" fontId="7" fillId="4" borderId="1" applyAlignment="1" pivotButton="0" quotePrefix="0" xfId="0">
      <alignment horizontal="center" vertical="center"/>
    </xf>
    <xf numFmtId="167" fontId="7" fillId="4" borderId="1" applyAlignment="1" pivotButton="0" quotePrefix="0" xfId="0">
      <alignment horizontal="center" vertical="center"/>
    </xf>
    <xf numFmtId="10" fontId="7" fillId="4" borderId="1" applyAlignment="1" pivotButton="0" quotePrefix="0" xfId="0">
      <alignment horizontal="center" vertical="center"/>
    </xf>
    <xf numFmtId="0" fontId="2" fillId="0" borderId="0" pivotButton="0" quotePrefix="0" xfId="0"/>
    <xf numFmtId="0" fontId="4" fillId="0" borderId="1" pivotButton="0" quotePrefix="0" xfId="0"/>
    <xf numFmtId="0" fontId="0" fillId="0" borderId="1" pivotButton="0" quotePrefix="0" xfId="0"/>
    <xf numFmtId="3" fontId="7" fillId="0" borderId="1" applyAlignment="1" pivotButton="0" quotePrefix="0" xfId="0">
      <alignment horizontal="right" indent="1"/>
    </xf>
    <xf numFmtId="0" fontId="9" fillId="0" borderId="1" pivotButton="0" quotePrefix="0" xfId="0"/>
    <xf numFmtId="164" fontId="8" fillId="0" borderId="1" applyAlignment="1" pivotButton="0" quotePrefix="0" xfId="0">
      <alignment horizontal="center" vertical="center"/>
    </xf>
    <xf numFmtId="168" fontId="8" fillId="0" borderId="1" applyAlignment="1" pivotButton="0" quotePrefix="0" xfId="0">
      <alignment horizontal="center" vertical="center"/>
    </xf>
    <xf numFmtId="0" fontId="4" fillId="5" borderId="1" pivotButton="0" quotePrefix="0" xfId="0"/>
    <xf numFmtId="164" fontId="8" fillId="5" borderId="1" applyAlignment="1" pivotButton="0" quotePrefix="0" xfId="0">
      <alignment horizontal="center" vertical="center"/>
    </xf>
    <xf numFmtId="3" fontId="7" fillId="5" borderId="1" applyAlignment="1" pivotButton="0" quotePrefix="0" xfId="0">
      <alignment horizontal="right" indent="1"/>
    </xf>
    <xf numFmtId="0" fontId="8" fillId="5" borderId="1" pivotButton="0" quotePrefix="0" xfId="0"/>
    <xf numFmtId="0" fontId="9" fillId="5" borderId="1" pivotButton="0" quotePrefix="0" xfId="0"/>
    <xf numFmtId="167" fontId="8" fillId="5" borderId="1" applyAlignment="1" pivotButton="0" quotePrefix="0" xfId="0">
      <alignment horizontal="center" vertical="center"/>
    </xf>
    <xf numFmtId="167" fontId="7" fillId="5" borderId="1" applyAlignment="1" pivotButton="0" quotePrefix="0" xfId="0">
      <alignment horizontal="right" indent="1"/>
    </xf>
    <xf numFmtId="0" fontId="3" fillId="0" borderId="0" pivotButton="0" quotePrefix="0" xfId="0"/>
    <xf numFmtId="0" fontId="7" fillId="0" borderId="1" pivotButton="0" quotePrefix="0" xfId="0"/>
    <xf numFmtId="167" fontId="10" fillId="0" borderId="1" applyAlignment="1" pivotButton="0" quotePrefix="0" xfId="0">
      <alignment horizontal="right" indent="1"/>
    </xf>
    <xf numFmtId="169" fontId="8" fillId="0" borderId="1" applyAlignment="1" pivotButton="0" quotePrefix="0" xfId="0">
      <alignment horizontal="center" vertical="center"/>
    </xf>
    <xf numFmtId="167" fontId="7" fillId="0" borderId="1" applyAlignment="1" pivotButton="0" quotePrefix="0" xfId="0">
      <alignment horizontal="right" indent="1"/>
    </xf>
    <xf numFmtId="10" fontId="8" fillId="0" borderId="1" applyAlignment="1" pivotButton="0" quotePrefix="0" xfId="0">
      <alignment horizontal="center" vertical="center"/>
    </xf>
    <xf numFmtId="170" fontId="8" fillId="0" borderId="1" applyAlignment="1" pivotButton="0" quotePrefix="0" xfId="0">
      <alignment horizontal="center" vertical="center"/>
    </xf>
    <xf numFmtId="0" fontId="2" fillId="0" borderId="0" applyAlignment="1" pivotButton="0" quotePrefix="0" xfId="0">
      <alignment vertical="top" wrapText="1"/>
    </xf>
    <xf numFmtId="10" fontId="8" fillId="5" borderId="1" applyAlignment="1" pivotButton="0" quotePrefix="0" xfId="0">
      <alignment horizontal="center" vertical="center"/>
    </xf>
    <xf numFmtId="0" fontId="8" fillId="0" borderId="0" applyAlignment="1" pivotButton="0" quotePrefix="0" xfId="0">
      <alignment vertical="top" wrapText="1"/>
    </xf>
    <xf numFmtId="3" fontId="4" fillId="0" borderId="1" applyAlignment="1" pivotButton="0" quotePrefix="0" xfId="0">
      <alignment horizontal="right" indent="1"/>
    </xf>
    <xf numFmtId="167" fontId="10" fillId="5" borderId="1" applyAlignment="1" pivotButton="0" quotePrefix="0" xfId="0">
      <alignment horizontal="right" indent="1"/>
    </xf>
    <xf numFmtId="167" fontId="4" fillId="0" borderId="1" applyAlignment="1" pivotButton="0" quotePrefix="0" xfId="0">
      <alignment horizontal="right" indent="1"/>
    </xf>
    <xf numFmtId="0" fontId="11" fillId="2" borderId="1" applyAlignment="1" pivotButton="0" quotePrefix="0" xfId="0">
      <alignment horizontal="center" vertical="center"/>
    </xf>
    <xf numFmtId="0" fontId="7" fillId="0" borderId="1" applyAlignment="1" pivotButton="0" quotePrefix="0" xfId="0">
      <alignment vertical="top" wrapText="1"/>
    </xf>
    <xf numFmtId="0" fontId="7" fillId="0" borderId="1" applyAlignment="1" pivotButton="0" quotePrefix="0" xfId="0">
      <alignment horizontal="center" vertical="center"/>
    </xf>
    <xf numFmtId="0" fontId="12" fillId="8" borderId="1" applyAlignment="1" pivotButton="0" quotePrefix="0" xfId="0">
      <alignment horizontal="center" vertical="center"/>
    </xf>
    <xf numFmtId="0" fontId="11" fillId="9" borderId="1" applyAlignment="1" pivotButton="0" quotePrefix="0" xfId="0">
      <alignment horizontal="center" vertical="center"/>
    </xf>
    <xf numFmtId="0" fontId="11"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showGridLines="0" workbookViewId="0">
      <selection pane="bottomLeft" activeCell="A1" sqref="A1"/>
    </sheetView>
  </sheetViews>
  <sheetFormatPr baseColWidth="8" defaultRowHeight="15"/>
  <cols>
    <col width="3" customWidth="1" min="1" max="1"/>
    <col width="104" customWidth="1" min="2" max="2"/>
  </cols>
  <sheetData>
    <row r="1" ht="30" customHeight="1">
      <c r="A1" s="1" t="inlineStr">
        <is>
          <t>ShopBack Lens  -  Impact Model</t>
        </is>
      </c>
    </row>
    <row r="2" ht="20" customHeight="1">
      <c r="A2" s="2" t="inlineStr">
        <is>
          <t>Wang Zhiming (王至明)  |  Singapore launch  |  12-month horizon  |  v1.1  |  29 Sep 2026</t>
        </is>
      </c>
    </row>
    <row r="3" ht="22" customHeight="1">
      <c r="B3" s="3" t="inlineStr">
        <is>
          <t>How to use this model</t>
        </is>
      </c>
    </row>
    <row r="4" ht="30" customHeight="1">
      <c r="B4" s="4" t="inlineStr">
        <is>
          <t>Every orange cell on the 'Assumptions' tab is an input you can change. Every other number in the workbook is a live formula that recalculates from those inputs. Nothing is hard-coded downstream.</t>
        </is>
      </c>
    </row>
    <row r="6" ht="22" customHeight="1">
      <c r="B6" s="3" t="inlineStr">
        <is>
          <t>These are not forecasts</t>
        </is>
      </c>
    </row>
    <row r="7" ht="75" customHeight="1">
      <c r="B7" s="4" t="inlineStr">
        <is>
          <t>I do not have access to ShopBack's internal data. The outputs here are the arithmetic consequences of the stated assumptions - no more than that. Each assumption carries a confidence rating and a named test that would confirm or kill it. The purpose of the model is to show which assumptions the business case actually hangs on, so that the first month of work can be aimed at those and nothing else.</t>
        </is>
      </c>
    </row>
    <row r="9" ht="22" customHeight="1">
      <c r="B9" s="3" t="inlineStr">
        <is>
          <t>The three assumptions that matter</t>
        </is>
      </c>
    </row>
    <row r="10" ht="30" customHeight="1">
      <c r="B10" s="4" t="inlineStr">
        <is>
          <t>A-1  Leakage rate  -  what share of purchases at partner merchants never pass through ShopBack. This sets the size of the recoverable pool and therefore whether this is a S$2M or a S$20M project.</t>
        </is>
      </c>
    </row>
    <row r="11" ht="30" customHeight="1">
      <c r="B11" s="4" t="inlineStr">
        <is>
          <t>A-4  Match rate  -  can the catalogue reliably resolve a social link or screenshot to a product. If this fails, there is no product. It is tested offline in month zero, before any client code.</t>
        </is>
      </c>
    </row>
    <row r="12" ht="30" customHeight="1">
      <c r="B12" s="4" t="inlineStr">
        <is>
          <t>A-8  Incrementality  -  what share of Lens orders would not have been tracked anyway. If this is low, Lens is redistributing revenue rather than creating it, and is a cost line.</t>
        </is>
      </c>
    </row>
    <row r="14" ht="22" customHeight="1">
      <c r="B14" s="3" t="inlineStr">
        <is>
          <t>Tabs</t>
        </is>
      </c>
    </row>
    <row r="15" ht="16" customHeight="1">
      <c r="B15" s="4" t="inlineStr">
        <is>
          <t>Assumptions       All editable inputs, with confidence and validation method</t>
        </is>
      </c>
    </row>
    <row r="16" ht="16" customHeight="1">
      <c r="B16" s="4" t="inlineStr">
        <is>
          <t>Lens funnel       Capture-to-order funnel and incremental GMV, driven by the assumptions tab</t>
        </is>
      </c>
    </row>
    <row r="17" ht="30" customHeight="1">
      <c r="B17" s="4" t="inlineStr">
        <is>
          <t>Smart Rates       Platform fee (71 bps) on participating GMV. Extra cashback is a merchant pass-through.</t>
        </is>
      </c>
    </row>
    <row r="18" ht="30" customHeight="1">
      <c r="B18" s="4" t="inlineStr">
        <is>
          <t>Scenarios         Conservative / base / aggressive, including retention lift so totals match the deck</t>
        </is>
      </c>
    </row>
    <row r="19" ht="16" customHeight="1">
      <c r="B19" s="4" t="inlineStr">
        <is>
          <t>Metrics           North star, inputs, guardrails and counter-metric, with targets and owners</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showGridLines="0" workbookViewId="0">
      <pane ySplit="3" topLeftCell="A4" activePane="bottomLeft" state="frozen"/>
      <selection pane="bottomLeft" activeCell="A1" sqref="A1"/>
    </sheetView>
  </sheetViews>
  <sheetFormatPr baseColWidth="8" defaultRowHeight="15"/>
  <cols>
    <col width="8" customWidth="1" min="1" max="1"/>
    <col width="40" customWidth="1" min="2" max="2"/>
    <col width="12" customWidth="1" min="3" max="3"/>
    <col width="10" customWidth="1" min="4" max="4"/>
    <col width="13" customWidth="1" min="5" max="5"/>
    <col width="62" customWidth="1" min="6" max="6"/>
  </cols>
  <sheetData>
    <row r="1" ht="30" customHeight="1">
      <c r="A1" s="1" t="inlineStr">
        <is>
          <t>Assumptions</t>
        </is>
      </c>
    </row>
    <row r="2" ht="20" customHeight="1">
      <c r="A2" s="2" t="inlineStr">
        <is>
          <t>Orange cells are editable inputs. Everything else in this workbook derives from them.</t>
        </is>
      </c>
    </row>
    <row r="4" ht="28" customHeight="1">
      <c r="A4" s="5" t="inlineStr">
        <is>
          <t>ID</t>
        </is>
      </c>
      <c r="B4" s="5" t="inlineStr">
        <is>
          <t>Assumption</t>
        </is>
      </c>
      <c r="C4" s="5" t="inlineStr">
        <is>
          <t>Input</t>
        </is>
      </c>
      <c r="D4" s="5" t="inlineStr">
        <is>
          <t>Unit</t>
        </is>
      </c>
      <c r="E4" s="5" t="inlineStr">
        <is>
          <t>Confidence</t>
        </is>
      </c>
      <c r="F4" s="5" t="inlineStr">
        <is>
          <t>How it gets validated / killed</t>
        </is>
      </c>
    </row>
    <row r="5" ht="30" customHeight="1">
      <c r="A5" s="6" t="inlineStr">
        <is>
          <t>A-13</t>
        </is>
      </c>
      <c r="B5" s="7" t="inlineStr">
        <is>
          <t>SG monthly active users</t>
        </is>
      </c>
      <c r="C5" s="8" t="n">
        <v>600000</v>
      </c>
      <c r="D5" s="9" t="inlineStr">
        <is>
          <t>users</t>
        </is>
      </c>
      <c r="E5" s="10" t="inlineStr">
        <is>
          <t>Unknown</t>
        </is>
      </c>
      <c r="F5" s="11" t="inlineStr">
        <is>
          <t>Internal data - I do not have it. Single editable input so the whole model rescales.</t>
        </is>
      </c>
    </row>
    <row r="6" ht="30" customHeight="1">
      <c r="A6" s="6" t="inlineStr">
        <is>
          <t>A-1</t>
        </is>
      </c>
      <c r="B6" s="7" t="inlineStr">
        <is>
          <t>Leakage: partner-merchant purchases that never pass through ShopBack</t>
        </is>
      </c>
      <c r="C6" s="12" t="n">
        <v>0.6</v>
      </c>
      <c r="D6" s="9" t="inlineStr">
        <is>
          <t>%</t>
        </is>
      </c>
      <c r="E6" s="13" t="inlineStr">
        <is>
          <t>Low</t>
        </is>
      </c>
      <c r="F6" s="11" t="inlineStr">
        <is>
          <t>Panel survey of 500 SG users + opt-in email-receipt panel. KILL below 30%.</t>
        </is>
      </c>
    </row>
    <row r="7" ht="30" customHeight="1">
      <c r="A7" s="6" t="inlineStr">
        <is>
          <t>A-2</t>
        </is>
      </c>
      <c r="B7" s="7" t="inlineStr">
        <is>
          <t>Lens monthly adoption as share of SG MAU at M12</t>
        </is>
      </c>
      <c r="C7" s="12" t="n">
        <v>0.22</v>
      </c>
      <c r="D7" s="9" t="inlineStr">
        <is>
          <t>%</t>
        </is>
      </c>
      <c r="E7" s="13" t="inlineStr">
        <is>
          <t>Low</t>
        </is>
      </c>
      <c r="F7" s="11" t="inlineStr">
        <is>
          <t>Staged rollout with holdout; organic vs prompted discovery. KILL below 8%.</t>
        </is>
      </c>
    </row>
    <row r="8" ht="30" customHeight="1">
      <c r="A8" s="6" t="inlineStr">
        <is>
          <t>A-3</t>
        </is>
      </c>
      <c r="B8" s="7" t="inlineStr">
        <is>
          <t>Lens submissions per Lens-active user per month</t>
        </is>
      </c>
      <c r="C8" s="14" t="n">
        <v>3.2</v>
      </c>
      <c r="D8" s="9" t="inlineStr">
        <is>
          <t>count</t>
        </is>
      </c>
      <c r="E8" s="13" t="inlineStr">
        <is>
          <t>Low</t>
        </is>
      </c>
      <c r="F8" s="11" t="inlineStr">
        <is>
          <t>Direct beta measurement. KILL below 1.5 - that is novelty, not habit.</t>
        </is>
      </c>
    </row>
    <row r="9" ht="30" customHeight="1">
      <c r="A9" s="6" t="inlineStr">
        <is>
          <t>A-4</t>
        </is>
      </c>
      <c r="B9" s="7" t="inlineStr">
        <is>
          <t>Match rate: submissions resolved to a confident product match</t>
        </is>
      </c>
      <c r="C9" s="12" t="n">
        <v>0.78</v>
      </c>
      <c r="D9" s="9" t="inlineStr">
        <is>
          <t>%</t>
        </is>
      </c>
      <c r="E9" s="15" t="inlineStr">
        <is>
          <t>Medium</t>
        </is>
      </c>
      <c r="F9" s="11" t="inlineStr">
        <is>
          <t>Offline eval on 2,000 real social links/screenshots in month 0. KILL below 55%.</t>
        </is>
      </c>
    </row>
    <row r="10" ht="30" customHeight="1">
      <c r="A10" s="6" t="inlineStr">
        <is>
          <t>A-6</t>
        </is>
      </c>
      <c r="B10" s="7" t="inlineStr">
        <is>
          <t>Match to click-out rate</t>
        </is>
      </c>
      <c r="C10" s="12" t="n">
        <v>0.46</v>
      </c>
      <c r="D10" s="9" t="inlineStr">
        <is>
          <t>%</t>
        </is>
      </c>
      <c r="E10" s="13" t="inlineStr">
        <is>
          <t>Low</t>
        </is>
      </c>
      <c r="F10" s="11" t="inlineStr">
        <is>
          <t>Beta funnel. KILL below 20% - the answer is not compelling.</t>
        </is>
      </c>
    </row>
    <row r="11" ht="30" customHeight="1">
      <c r="A11" s="6" t="inlineStr">
        <is>
          <t>A-7</t>
        </is>
      </c>
      <c r="B11" s="7" t="inlineStr">
        <is>
          <t>Click-out to order conversion</t>
        </is>
      </c>
      <c r="C11" s="12" t="n">
        <v>0.095</v>
      </c>
      <c r="D11" s="9" t="inlineStr">
        <is>
          <t>%</t>
        </is>
      </c>
      <c r="E11" s="15" t="inlineStr">
        <is>
          <t>Medium</t>
        </is>
      </c>
      <c r="F11" s="11" t="inlineStr">
        <is>
          <t>Beta funnel, benchmarked against current ShopBack click-out conversion. KILL below 4%.</t>
        </is>
      </c>
    </row>
    <row r="12" ht="30" customHeight="1">
      <c r="A12" s="6" t="inlineStr">
        <is>
          <t>A-8</t>
        </is>
      </c>
      <c r="B12" s="7" t="inlineStr">
        <is>
          <t>Incrementality: Lens orders that would not otherwise be tracked</t>
        </is>
      </c>
      <c r="C12" s="12" t="n">
        <v>0.55</v>
      </c>
      <c r="D12" s="9" t="inlineStr">
        <is>
          <t>%</t>
        </is>
      </c>
      <c r="E12" s="13" t="inlineStr">
        <is>
          <t>Low</t>
        </is>
      </c>
      <c r="F12" s="11" t="inlineStr">
        <is>
          <t>10% user-level holdout for 8 weeks. KILL below 25% - Lens is cannibalising.</t>
        </is>
      </c>
    </row>
    <row r="13" ht="30" customHeight="1">
      <c r="A13" s="6" t="inlineStr">
        <is>
          <t>A-12</t>
        </is>
      </c>
      <c r="B13" s="7" t="inlineStr">
        <is>
          <t>Average order value on Lens orders</t>
        </is>
      </c>
      <c r="C13" s="16" t="n">
        <v>95</v>
      </c>
      <c r="D13" s="9" t="inlineStr">
        <is>
          <t>SGD</t>
        </is>
      </c>
      <c r="E13" s="15" t="inlineStr">
        <is>
          <t>Medium</t>
        </is>
      </c>
      <c r="F13" s="11" t="inlineStr">
        <is>
          <t>Beta measurement against current ShopBack SG AOV.</t>
        </is>
      </c>
    </row>
    <row r="14" ht="30" customHeight="1">
      <c r="A14" s="6" t="inlineStr">
        <is>
          <t>A-11</t>
        </is>
      </c>
      <c r="B14" s="7" t="inlineStr">
        <is>
          <t>Retention lift: extra tracked orders per Lens user per month, placed OUTSIDE Lens</t>
        </is>
      </c>
      <c r="C14" s="14" t="n">
        <v>0.015</v>
      </c>
      <c r="D14" s="9" t="inlineStr">
        <is>
          <t>count</t>
        </is>
      </c>
      <c r="E14" s="13" t="inlineStr">
        <is>
          <t>Low</t>
        </is>
      </c>
      <c r="F14" s="11" t="inlineStr">
        <is>
          <t>Same holdout as A-8. Deliberately set low - this is the softest line in the model and the easiest to double-count.</t>
        </is>
      </c>
    </row>
    <row r="15" ht="30" customHeight="1">
      <c r="A15" s="6" t="inlineStr">
        <is>
          <t>P-2</t>
        </is>
      </c>
      <c r="B15" s="7" t="inlineStr">
        <is>
          <t>Net take rate retained by ShopBack after user cashback</t>
        </is>
      </c>
      <c r="C15" s="12" t="n">
        <v>0.024</v>
      </c>
      <c r="D15" s="9" t="inlineStr">
        <is>
          <t>%</t>
        </is>
      </c>
      <c r="E15" s="15" t="inlineStr">
        <is>
          <t>Medium</t>
        </is>
      </c>
      <c r="F15" s="11" t="inlineStr">
        <is>
          <t>Industry norm for affiliate cashback. Replace with actuals on day one.</t>
        </is>
      </c>
    </row>
    <row r="16" ht="30" customHeight="1">
      <c r="A16" s="6" t="inlineStr">
        <is>
          <t>A-15</t>
        </is>
      </c>
      <c r="B16" s="7" t="inlineStr">
        <is>
          <t>SG annual tracked GMV (base for Smart Rates)</t>
        </is>
      </c>
      <c r="C16" s="17" t="n">
        <v>400000000</v>
      </c>
      <c r="D16" s="9" t="inlineStr">
        <is>
          <t>SGD</t>
        </is>
      </c>
      <c r="E16" s="10" t="inlineStr">
        <is>
          <t>Unknown</t>
        </is>
      </c>
      <c r="F16" s="11" t="inlineStr">
        <is>
          <t>Internal data. Smart Rates value scales linearly with this.</t>
        </is>
      </c>
    </row>
    <row r="17" ht="30" customHeight="1">
      <c r="A17" s="6" t="inlineStr">
        <is>
          <t>A-9</t>
        </is>
      </c>
      <c r="B17" s="7" t="inlineStr">
        <is>
          <t>Share of SG GMV from merchants activating Smart Rates by M12</t>
        </is>
      </c>
      <c r="C17" s="12" t="n">
        <v>0.35</v>
      </c>
      <c r="D17" s="9" t="inlineStr">
        <is>
          <t>%</t>
        </is>
      </c>
      <c r="E17" s="13" t="inlineStr">
        <is>
          <t>Low</t>
        </is>
      </c>
      <c r="F17" s="11" t="inlineStr">
        <is>
          <t>Pilot-sell to 10 merchants in M6 before building self-serve. KILL below 12%.</t>
        </is>
      </c>
    </row>
    <row r="18" ht="30" customHeight="1">
      <c r="A18" s="6" t="inlineStr">
        <is>
          <t>A-16</t>
        </is>
      </c>
      <c r="B18" s="7" t="inlineStr">
        <is>
          <t>Smart Rates platform fee on participating GMV (allocation + holdout reporting). Extra cashback is a merchant-funded pass-through, not this fee.</t>
        </is>
      </c>
      <c r="C18" s="18" t="n">
        <v>0.0071</v>
      </c>
      <c r="D18" s="9" t="inlineStr">
        <is>
          <t>bps</t>
        </is>
      </c>
      <c r="E18" s="13" t="inlineStr">
        <is>
          <t>Low</t>
        </is>
      </c>
      <c r="F18" s="11" t="inlineStr">
        <is>
          <t>Merchant-level switchback tests. KILL below 20 bps - the fee is not worth the sales motion.</t>
        </is>
      </c>
    </row>
    <row r="19" ht="30" customHeight="1">
      <c r="A19" s="6" t="inlineStr">
        <is>
          <t>A-10</t>
        </is>
      </c>
      <c r="B19" s="7" t="inlineStr">
        <is>
          <t>Cost per resolution (inference + feeds + infra)</t>
        </is>
      </c>
      <c r="C19" s="16" t="n">
        <v>0.02</v>
      </c>
      <c r="D19" s="9" t="inlineStr">
        <is>
          <t>SGD</t>
        </is>
      </c>
      <c r="E19" s="15" t="inlineStr">
        <is>
          <t>Medium</t>
        </is>
      </c>
      <c r="F19" s="11" t="inlineStr">
        <is>
          <t>Load test at projected volume. GUARDRAIL - breach above S$0.08 blocks rollout.</t>
        </is>
      </c>
    </row>
    <row r="20" ht="30" customHeight="1">
      <c r="A20" s="6" t="inlineStr">
        <is>
          <t>A-17</t>
        </is>
      </c>
      <c r="B20" s="7" t="inlineStr">
        <is>
          <t>Fully loaded annual team cost (10 eng, 1 DS, 1 design, 1 PM)</t>
        </is>
      </c>
      <c r="C20" s="17" t="n">
        <v>2600000</v>
      </c>
      <c r="D20" s="9" t="inlineStr">
        <is>
          <t>SGD</t>
        </is>
      </c>
      <c r="E20" s="15" t="inlineStr">
        <is>
          <t>Medium</t>
        </is>
      </c>
      <c r="F20" s="11" t="inlineStr">
        <is>
          <t>Standard SG loaded cost. Used only for the payback sanity check.</t>
        </is>
      </c>
    </row>
    <row r="21" ht="30" customHeight="1">
      <c r="A21" s="6" t="inlineStr">
        <is>
          <t>A-18</t>
        </is>
      </c>
      <c r="B21" s="7" t="inlineStr">
        <is>
          <t>MY + TW combined run-rate as a multiple of SG, at M12 exit</t>
        </is>
      </c>
      <c r="C21" s="14" t="n">
        <v>3.2</v>
      </c>
      <c r="D21" s="9" t="inlineStr">
        <is>
          <t>count</t>
        </is>
      </c>
      <c r="E21" s="13" t="inlineStr">
        <is>
          <t>Low</t>
        </is>
      </c>
      <c r="F21" s="11" t="inlineStr">
        <is>
          <t>Scaled on relative e-commerce GMV and ShopBack user base. Contributes almost nothing inside the 12-month window.</t>
        </is>
      </c>
    </row>
    <row r="23">
      <c r="B23" s="19" t="inlineStr">
        <is>
          <t>Confidence legend:  Low = no evidence, pure judgement  |  Medium = industry benchmark exists  |  Unknown = ShopBack has this number, I do not</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showGridLines="0" workbookViewId="0">
      <pane ySplit="3" topLeftCell="A4" activePane="bottomLeft" state="frozen"/>
      <selection pane="bottomLeft" activeCell="A1" sqref="A1"/>
    </sheetView>
  </sheetViews>
  <sheetFormatPr baseColWidth="8" defaultRowHeight="15"/>
  <cols>
    <col width="42" customWidth="1" min="1" max="1"/>
    <col width="16" customWidth="1" min="2" max="2"/>
    <col width="18" customWidth="1" min="3" max="3"/>
    <col width="12" customWidth="1" min="4" max="4"/>
    <col width="14" customWidth="1" min="5" max="5"/>
  </cols>
  <sheetData>
    <row r="1" ht="30" customHeight="1">
      <c r="A1" s="1" t="inlineStr">
        <is>
          <t>Lens funnel  -  Singapore, month 12 run-rate</t>
        </is>
      </c>
    </row>
    <row r="2" ht="20" customHeight="1">
      <c r="A2" s="2" t="inlineStr">
        <is>
          <t>Every cell below is a formula. Change the Assumptions tab and this recalculates.</t>
        </is>
      </c>
    </row>
    <row r="4" ht="28" customHeight="1">
      <c r="A4" s="5" t="inlineStr">
        <is>
          <t>Step</t>
        </is>
      </c>
      <c r="B4" s="5" t="inlineStr">
        <is>
          <t>Driver</t>
        </is>
      </c>
      <c r="C4" s="5" t="inlineStr">
        <is>
          <t>Monthly volume</t>
        </is>
      </c>
      <c r="D4" s="5" t="inlineStr">
        <is>
          <t>Unit</t>
        </is>
      </c>
      <c r="E4" s="5" t="inlineStr">
        <is>
          <t>Assumption</t>
        </is>
      </c>
    </row>
    <row r="5" ht="24" customHeight="1">
      <c r="A5" s="20" t="inlineStr">
        <is>
          <t>Singapore monthly active users</t>
        </is>
      </c>
      <c r="B5" s="21" t="n"/>
      <c r="C5" s="22">
        <f>Assumptions!$C$5</f>
        <v/>
      </c>
      <c r="D5" s="9" t="inlineStr">
        <is>
          <t>users</t>
        </is>
      </c>
      <c r="E5" s="23" t="inlineStr">
        <is>
          <t>A-13</t>
        </is>
      </c>
    </row>
    <row r="6" ht="24" customHeight="1">
      <c r="A6" s="20" t="inlineStr">
        <is>
          <t>Users who use Lens at least once this month</t>
        </is>
      </c>
      <c r="B6" s="24">
        <f>Assumptions!$C$7</f>
        <v/>
      </c>
      <c r="C6" s="22">
        <f>C5*Assumptions!$C$7</f>
        <v/>
      </c>
      <c r="D6" s="9" t="inlineStr">
        <is>
          <t>users</t>
        </is>
      </c>
      <c r="E6" s="23" t="inlineStr">
        <is>
          <t>A-2</t>
        </is>
      </c>
    </row>
    <row r="7" ht="24" customHeight="1">
      <c r="A7" s="20" t="inlineStr">
        <is>
          <t>Lens submissions (links, screenshots, questions)</t>
        </is>
      </c>
      <c r="B7" s="25">
        <f>Assumptions!$C$8</f>
        <v/>
      </c>
      <c r="C7" s="22">
        <f>C6*Assumptions!$C$8</f>
        <v/>
      </c>
      <c r="D7" s="9" t="inlineStr">
        <is>
          <t>submissions</t>
        </is>
      </c>
      <c r="E7" s="23" t="inlineStr">
        <is>
          <t>A-3</t>
        </is>
      </c>
    </row>
    <row r="8" ht="24" customHeight="1">
      <c r="A8" s="20" t="inlineStr">
        <is>
          <t>Resolved to a confident product match</t>
        </is>
      </c>
      <c r="B8" s="24">
        <f>Assumptions!$C$9</f>
        <v/>
      </c>
      <c r="C8" s="22">
        <f>C7*Assumptions!$C$9</f>
        <v/>
      </c>
      <c r="D8" s="9" t="inlineStr">
        <is>
          <t>matches</t>
        </is>
      </c>
      <c r="E8" s="23" t="inlineStr">
        <is>
          <t>A-4</t>
        </is>
      </c>
    </row>
    <row r="9" ht="24" customHeight="1">
      <c r="A9" s="20" t="inlineStr">
        <is>
          <t>Tapped through to a merchant (tracked click-out)</t>
        </is>
      </c>
      <c r="B9" s="24">
        <f>Assumptions!$C$10</f>
        <v/>
      </c>
      <c r="C9" s="22">
        <f>C8*Assumptions!$C$10</f>
        <v/>
      </c>
      <c r="D9" s="9" t="inlineStr">
        <is>
          <t>click-outs</t>
        </is>
      </c>
      <c r="E9" s="23" t="inlineStr">
        <is>
          <t>A-6</t>
        </is>
      </c>
    </row>
    <row r="10" ht="24" customHeight="1">
      <c r="A10" s="20" t="inlineStr">
        <is>
          <t>Orders placed</t>
        </is>
      </c>
      <c r="B10" s="24">
        <f>Assumptions!$C$11</f>
        <v/>
      </c>
      <c r="C10" s="22">
        <f>C9*Assumptions!$C$11</f>
        <v/>
      </c>
      <c r="D10" s="9" t="inlineStr">
        <is>
          <t>orders</t>
        </is>
      </c>
      <c r="E10" s="23" t="inlineStr">
        <is>
          <t>A-7</t>
        </is>
      </c>
    </row>
    <row r="11" ht="24" customHeight="1">
      <c r="A11" s="26" t="inlineStr">
        <is>
          <t>Of which INCREMENTAL (would not have been tracked)</t>
        </is>
      </c>
      <c r="B11" s="27">
        <f>Assumptions!$C$12</f>
        <v/>
      </c>
      <c r="C11" s="28">
        <f>C10*Assumptions!$C$12</f>
        <v/>
      </c>
      <c r="D11" s="29" t="inlineStr">
        <is>
          <t>orders</t>
        </is>
      </c>
      <c r="E11" s="30" t="inlineStr">
        <is>
          <t>A-8</t>
        </is>
      </c>
    </row>
    <row r="12" ht="24" customHeight="1">
      <c r="A12" s="26" t="inlineStr">
        <is>
          <t>Incremental GMV per month</t>
        </is>
      </c>
      <c r="B12" s="31">
        <f>Assumptions!$C$13</f>
        <v/>
      </c>
      <c r="C12" s="32">
        <f>C11*Assumptions!$C$13</f>
        <v/>
      </c>
      <c r="D12" s="29" t="inlineStr">
        <is>
          <t>SGD</t>
        </is>
      </c>
      <c r="E12" s="30" t="inlineStr">
        <is>
          <t>A-12</t>
        </is>
      </c>
    </row>
    <row r="14">
      <c r="A14" s="33" t="inlineStr">
        <is>
          <t>ANNUALISED AT MONTH-12 RUN-RATE</t>
        </is>
      </c>
    </row>
    <row r="15" ht="30" customHeight="1">
      <c r="A15" s="34" t="inlineStr">
        <is>
          <t>Incremental GMV from Lens orders</t>
        </is>
      </c>
      <c r="B15" s="21" t="n"/>
      <c r="C15" s="35">
        <f>C12*12</f>
        <v/>
      </c>
      <c r="D15" s="9" t="inlineStr">
        <is>
          <t>SGD</t>
        </is>
      </c>
      <c r="E15" s="23" t="inlineStr"/>
    </row>
    <row r="16" ht="24" customHeight="1">
      <c r="A16" s="20" t="inlineStr">
        <is>
          <t>Additional GMV from retention lift (orders placed outside Lens)</t>
        </is>
      </c>
      <c r="B16" s="36">
        <f>Assumptions!$C$14</f>
        <v/>
      </c>
      <c r="C16" s="37">
        <f>C6*Assumptions!$C$14*Assumptions!$C$13*12</f>
        <v/>
      </c>
      <c r="D16" s="9" t="inlineStr">
        <is>
          <t>SGD</t>
        </is>
      </c>
      <c r="E16" s="23" t="inlineStr">
        <is>
          <t>A-11</t>
        </is>
      </c>
    </row>
    <row r="17" ht="30" customHeight="1">
      <c r="A17" s="34" t="inlineStr">
        <is>
          <t>Total incremental GMV</t>
        </is>
      </c>
      <c r="B17" s="21" t="n"/>
      <c r="C17" s="35">
        <f>C15+C16</f>
        <v/>
      </c>
      <c r="D17" s="9" t="inlineStr">
        <is>
          <t>SGD</t>
        </is>
      </c>
      <c r="E17" s="23" t="inlineStr"/>
    </row>
    <row r="18" ht="30" customHeight="1">
      <c r="A18" s="34" t="inlineStr">
        <is>
          <t>Net revenue to ShopBack from Lens</t>
        </is>
      </c>
      <c r="B18" s="38">
        <f>Assumptions!$C$15</f>
        <v/>
      </c>
      <c r="C18" s="35">
        <f>C17*Assumptions!$C$15</f>
        <v/>
      </c>
      <c r="D18" s="9" t="inlineStr">
        <is>
          <t>SGD</t>
        </is>
      </c>
      <c r="E18" s="23" t="inlineStr">
        <is>
          <t>P-2</t>
        </is>
      </c>
    </row>
    <row r="20" ht="24" customHeight="1">
      <c r="A20" s="20" t="inlineStr">
        <is>
          <t>Annual resolution cost (all submissions, matched or not)</t>
        </is>
      </c>
      <c r="B20" s="39">
        <f>Assumptions!$C$19</f>
        <v/>
      </c>
      <c r="C20" s="37">
        <f>C7*12*Assumptions!$C$19</f>
        <v/>
      </c>
      <c r="D20" s="9" t="inlineStr">
        <is>
          <t>SGD</t>
        </is>
      </c>
      <c r="E20" s="23" t="inlineStr">
        <is>
          <t>A-10</t>
        </is>
      </c>
    </row>
    <row r="21" ht="24" customHeight="1">
      <c r="A21" s="20" t="inlineStr">
        <is>
          <t>Fully loaded team cost</t>
        </is>
      </c>
      <c r="B21" s="21" t="n"/>
      <c r="C21" s="37">
        <f>Assumptions!$C$20</f>
        <v/>
      </c>
      <c r="D21" s="9" t="inlineStr">
        <is>
          <t>SGD</t>
        </is>
      </c>
      <c r="E21" s="23" t="inlineStr">
        <is>
          <t>A-17</t>
        </is>
      </c>
    </row>
    <row r="24" ht="46" customHeight="1">
      <c r="A24" s="40" t="inlineStr">
        <is>
          <t>Read this as: the arithmetic consequence of the assumptions, not a forecast. The Lens revenue line alone does not cover team cost in year one - that is expected and is why Smart Rates is in scope. See the next tab.</t>
        </is>
      </c>
    </row>
  </sheetData>
  <mergeCells count="3">
    <mergeCell ref="A2:E2"/>
    <mergeCell ref="A1:E1"/>
    <mergeCell ref="A24:E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showGridLines="0" workbookViewId="0">
      <pane ySplit="3" topLeftCell="A4" activePane="bottomLeft" state="frozen"/>
      <selection pane="bottomLeft" activeCell="A1" sqref="A1"/>
    </sheetView>
  </sheetViews>
  <sheetFormatPr baseColWidth="8" defaultRowHeight="15"/>
  <cols>
    <col width="42" customWidth="1" min="1" max="1"/>
    <col width="16" customWidth="1" min="2" max="2"/>
    <col width="18" customWidth="1" min="3" max="3"/>
    <col width="12" customWidth="1" min="4" max="4"/>
    <col width="14" customWidth="1" min="5" max="5"/>
  </cols>
  <sheetData>
    <row r="1" ht="30" customHeight="1">
      <c r="A1" s="1" t="inlineStr">
        <is>
          <t>Smart Rates  -  platform fee on participating GMV</t>
        </is>
      </c>
    </row>
    <row r="2" ht="20" customHeight="1">
      <c r="A2" s="2" t="inlineStr">
        <is>
          <t>Extra cashback is a merchant-funded pass-through. ShopBack's new line is a 71 bps fee for allocation and holdout measurement.</t>
        </is>
      </c>
    </row>
    <row r="4" ht="28" customHeight="1">
      <c r="A4" s="5" t="inlineStr">
        <is>
          <t>Step</t>
        </is>
      </c>
      <c r="B4" s="5" t="inlineStr">
        <is>
          <t>Driver</t>
        </is>
      </c>
      <c r="C4" s="5" t="inlineStr">
        <is>
          <t>Value</t>
        </is>
      </c>
      <c r="D4" s="5" t="inlineStr">
        <is>
          <t>Unit</t>
        </is>
      </c>
      <c r="E4" s="5" t="inlineStr">
        <is>
          <t>Assumption</t>
        </is>
      </c>
    </row>
    <row r="5" ht="24" customHeight="1">
      <c r="A5" s="20" t="inlineStr">
        <is>
          <t>SG annual tracked GMV (the whole book)</t>
        </is>
      </c>
      <c r="B5" s="21" t="n"/>
      <c r="C5" s="37">
        <f>Assumptions!$C$16</f>
        <v/>
      </c>
      <c r="D5" s="9" t="inlineStr">
        <is>
          <t>SGD</t>
        </is>
      </c>
      <c r="E5" s="23" t="inlineStr">
        <is>
          <t>A-15</t>
        </is>
      </c>
    </row>
    <row r="6" ht="24" customHeight="1">
      <c r="A6" s="20" t="inlineStr">
        <is>
          <t>GMV from merchants who activate Smart Rates</t>
        </is>
      </c>
      <c r="B6" s="24">
        <f>Assumptions!$C$17</f>
        <v/>
      </c>
      <c r="C6" s="37">
        <f>C5*Assumptions!$C$17</f>
        <v/>
      </c>
      <c r="D6" s="9" t="inlineStr">
        <is>
          <t>SGD</t>
        </is>
      </c>
      <c r="E6" s="23" t="inlineStr">
        <is>
          <t>A-9</t>
        </is>
      </c>
    </row>
    <row r="7" ht="24" customHeight="1">
      <c r="A7" s="26" t="inlineStr">
        <is>
          <t>Platform fee on participating GMV</t>
        </is>
      </c>
      <c r="B7" s="41">
        <f>Assumptions!$C$18</f>
        <v/>
      </c>
      <c r="C7" s="32">
        <f>C6*Assumptions!$C$18</f>
        <v/>
      </c>
      <c r="D7" s="29" t="inlineStr">
        <is>
          <t>SGD</t>
        </is>
      </c>
      <c r="E7" s="30" t="inlineStr">
        <is>
          <t>A-16</t>
        </is>
      </c>
    </row>
    <row r="9">
      <c r="A9" s="33" t="inlineStr">
        <is>
          <t>COMBINED 12-MONTH PICTURE  (Singapore only)</t>
        </is>
      </c>
    </row>
    <row r="10" ht="24" customHeight="1">
      <c r="A10" s="20" t="inlineStr">
        <is>
          <t>Net revenue - Lens</t>
        </is>
      </c>
      <c r="B10" s="21" t="n"/>
      <c r="C10" s="37">
        <f>'Lens funnel'!$C$18</f>
        <v/>
      </c>
      <c r="D10" s="9" t="inlineStr">
        <is>
          <t>SGD</t>
        </is>
      </c>
      <c r="E10" s="23" t="inlineStr"/>
    </row>
    <row r="11" ht="24" customHeight="1">
      <c r="A11" s="20" t="inlineStr">
        <is>
          <t>Net revenue - Smart Rates</t>
        </is>
      </c>
      <c r="B11" s="21" t="n"/>
      <c r="C11" s="37">
        <f>C7</f>
        <v/>
      </c>
      <c r="D11" s="9" t="inlineStr">
        <is>
          <t>SGD</t>
        </is>
      </c>
      <c r="E11" s="23" t="inlineStr"/>
    </row>
    <row r="12" ht="30" customHeight="1">
      <c r="A12" s="34" t="inlineStr">
        <is>
          <t>Total net revenue impact</t>
        </is>
      </c>
      <c r="B12" s="21" t="n"/>
      <c r="C12" s="35">
        <f>C10+C11</f>
        <v/>
      </c>
      <c r="D12" s="9" t="inlineStr">
        <is>
          <t>SGD</t>
        </is>
      </c>
      <c r="E12" s="23" t="inlineStr"/>
    </row>
    <row r="13" ht="24" customHeight="1">
      <c r="A13" s="20" t="inlineStr">
        <is>
          <t>Less: resolution cost</t>
        </is>
      </c>
      <c r="B13" s="21" t="n"/>
      <c r="C13" s="37">
        <f>-'Lens funnel'!$C$20</f>
        <v/>
      </c>
      <c r="D13" s="9" t="inlineStr">
        <is>
          <t>SGD</t>
        </is>
      </c>
      <c r="E13" s="23" t="inlineStr"/>
    </row>
    <row r="14" ht="24" customHeight="1">
      <c r="A14" s="20" t="inlineStr">
        <is>
          <t>Less: fully loaded team cost</t>
        </is>
      </c>
      <c r="B14" s="21" t="n"/>
      <c r="C14" s="37">
        <f>-'Lens funnel'!$C$21</f>
        <v/>
      </c>
      <c r="D14" s="9" t="inlineStr">
        <is>
          <t>SGD</t>
        </is>
      </c>
      <c r="E14" s="23" t="inlineStr"/>
    </row>
    <row r="15" ht="30" customHeight="1">
      <c r="A15" s="34" t="inlineStr">
        <is>
          <t>Year-1 contribution (negative is expected - see note)</t>
        </is>
      </c>
      <c r="B15" s="21" t="n"/>
      <c r="C15" s="35">
        <f>C12+C13+C14</f>
        <v/>
      </c>
      <c r="D15" s="9" t="inlineStr">
        <is>
          <t>SGD</t>
        </is>
      </c>
      <c r="E15" s="23" t="inlineStr"/>
    </row>
    <row r="17" ht="30" customHeight="1">
      <c r="A17" s="34" t="inlineStr">
        <is>
          <t>M12 EXIT RUN-RATE including MY + TW</t>
        </is>
      </c>
      <c r="B17" s="25">
        <f>Assumptions!$C$21</f>
        <v/>
      </c>
      <c r="C17" s="35">
        <f>C12*Assumptions!$C$21</f>
        <v/>
      </c>
      <c r="D17" s="9" t="inlineStr">
        <is>
          <t>SGD</t>
        </is>
      </c>
      <c r="E17" s="23" t="inlineStr">
        <is>
          <t>A-18</t>
        </is>
      </c>
    </row>
    <row r="19" ht="50" customHeight="1">
      <c r="A19" s="40" t="inlineStr">
        <is>
          <t>Exit run-rate matters more than year-1 P&amp;L. Year one is a ramp: the annualised figures above are what the business is earning by month 12, not what it books across the 12 months. MY and TW launch in M10-M12 and contribute almost nothing inside the window, but they set the exit run-rate. The honest framing to leadership is that year one buys the run-rate and year two collects it - and the model is built so you can check that claim rather than trust it.</t>
        </is>
      </c>
    </row>
    <row r="21">
      <c r="A21" s="33" t="inlineStr">
        <is>
          <t>How Smart Rates is paid for</t>
        </is>
      </c>
    </row>
    <row r="22" ht="46" customHeight="1">
      <c r="A22" s="4" t="inlineStr">
        <is>
          <t>Three claims cannot be true at once: rates only go up, merchant spend is unchanged, and ShopBack margin expands by cutting ACTIVE users. The last of those is not the design.</t>
        </is>
      </c>
    </row>
    <row r="23" ht="46" customHeight="1">
      <c r="A23" s="4" t="inlineStr">
        <is>
          <t>The extra cashback NEW and LAPSED customers see is funded from an optional merchant acquisition budget, on top of the published base rate. ACTIVE customers keep the public rate. ShopBack does not fund the boost, and does not pay for it by reducing anyone. Merchant base affiliate spend is unchanged; total spend rises by the optional budget plus the fee.</t>
        </is>
      </c>
    </row>
    <row r="24" ht="46" customHeight="1">
      <c r="A24" s="4" t="inlineStr">
        <is>
          <t>ShopBack's new revenue line is a 71 bps platform fee on GMV from participating merchants, charged for allocation and a holdout-verified incrementality report - the same shape as a managed-service fee. Extra cashback paid to shoppers is a pass-through of the merchant's boost budget and is not booked as ShopBack margin. Guardrail: a user NEVER sees a rate below the published base.</t>
        </is>
      </c>
    </row>
  </sheetData>
  <mergeCells count="6">
    <mergeCell ref="A24:E24"/>
    <mergeCell ref="A2:E2"/>
    <mergeCell ref="A19:E19"/>
    <mergeCell ref="A1:E1"/>
    <mergeCell ref="A23:E23"/>
    <mergeCell ref="A22:E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48" customWidth="1" min="5" max="5"/>
  </cols>
  <sheetData>
    <row r="1" ht="30" customHeight="1">
      <c r="A1" s="1" t="inlineStr">
        <is>
          <t>Scenarios</t>
        </is>
      </c>
    </row>
    <row r="2" ht="20" customHeight="1">
      <c r="A2" s="2" t="inlineStr">
        <is>
          <t>Four uncertain inputs varied. Incremental GMV and net revenue INCLUDE retention lift, matching the PRD and deck.</t>
        </is>
      </c>
    </row>
    <row r="4" ht="28" customHeight="1">
      <c r="A4" s="5" t="inlineStr">
        <is>
          <t>Driver</t>
        </is>
      </c>
      <c r="B4" s="5" t="inlineStr">
        <is>
          <t>Conservative</t>
        </is>
      </c>
      <c r="C4" s="5" t="inlineStr">
        <is>
          <t>Base</t>
        </is>
      </c>
      <c r="D4" s="5" t="inlineStr">
        <is>
          <t>Aggressive</t>
        </is>
      </c>
      <c r="E4" s="5" t="inlineStr">
        <is>
          <t>Note</t>
        </is>
      </c>
    </row>
    <row r="5" ht="26" customHeight="1">
      <c r="A5" s="20" t="inlineStr">
        <is>
          <t>Lens adoption  (A-2)</t>
        </is>
      </c>
      <c r="B5" s="12" t="n">
        <v>0.1</v>
      </c>
      <c r="C5" s="12" t="n">
        <v>0.22</v>
      </c>
      <c r="D5" s="12" t="n">
        <v>0.35</v>
      </c>
      <c r="E5" s="42" t="inlineStr">
        <is>
          <t>Conservative assumes only prompted discovery works</t>
        </is>
      </c>
    </row>
    <row r="6" ht="26" customHeight="1">
      <c r="A6" s="20" t="inlineStr">
        <is>
          <t>Match rate  (A-4)</t>
        </is>
      </c>
      <c r="B6" s="12" t="n">
        <v>0.62</v>
      </c>
      <c r="C6" s="12" t="n">
        <v>0.78</v>
      </c>
      <c r="D6" s="12" t="n">
        <v>0.88</v>
      </c>
      <c r="E6" s="42" t="inlineStr">
        <is>
          <t>Conservative assumes catalogue gaps on long-tail SKUs</t>
        </is>
      </c>
    </row>
    <row r="7" ht="26" customHeight="1">
      <c r="A7" s="20" t="inlineStr">
        <is>
          <t>Incrementality  (A-8)</t>
        </is>
      </c>
      <c r="B7" s="12" t="n">
        <v>0.35</v>
      </c>
      <c r="C7" s="12" t="n">
        <v>0.55</v>
      </c>
      <c r="D7" s="12" t="n">
        <v>0.7</v>
      </c>
      <c r="E7" s="42" t="inlineStr">
        <is>
          <t>Conservative assumes heavy cannibalisation of existing tracked traffic</t>
        </is>
      </c>
    </row>
    <row r="8" ht="26" customHeight="1">
      <c r="A8" s="20" t="inlineStr">
        <is>
          <t>Smart Rates GMV participation  (A-9)</t>
        </is>
      </c>
      <c r="B8" s="12" t="n">
        <v>0.15</v>
      </c>
      <c r="C8" s="12" t="n">
        <v>0.35</v>
      </c>
      <c r="D8" s="12" t="n">
        <v>0.55</v>
      </c>
      <c r="E8" s="42" t="inlineStr">
        <is>
          <t>Conservative assumes only the pilot cohort renews</t>
        </is>
      </c>
    </row>
    <row r="10" ht="24" customHeight="1">
      <c r="A10" s="20" t="inlineStr">
        <is>
          <t>Monthly orders via Lens</t>
        </is>
      </c>
      <c r="B10" s="43">
        <f>$B$5*Assumptions!$C$5*Assumptions!$C$8*$B$6*Assumptions!$C$10*Assumptions!$C$11</f>
        <v/>
      </c>
      <c r="C10" s="43">
        <f>$C$5*Assumptions!$C$5*Assumptions!$C$8*$C$6*Assumptions!$C$10*Assumptions!$C$11</f>
        <v/>
      </c>
      <c r="D10" s="43">
        <f>$D$5*Assumptions!$C$5*Assumptions!$C$8*$D$6*Assumptions!$C$10*Assumptions!$C$11</f>
        <v/>
      </c>
    </row>
    <row r="11" ht="24" customHeight="1">
      <c r="A11" s="20" t="inlineStr">
        <is>
          <t>Monthly incremental orders</t>
        </is>
      </c>
      <c r="B11" s="43">
        <f>$B$5*Assumptions!$C$5*Assumptions!$C$8*$B$6*Assumptions!$C$10*Assumptions!$C$11*$B$7</f>
        <v/>
      </c>
      <c r="C11" s="43">
        <f>$C$5*Assumptions!$C$5*Assumptions!$C$8*$C$6*Assumptions!$C$10*Assumptions!$C$11*$C$7</f>
        <v/>
      </c>
      <c r="D11" s="43">
        <f>$D$5*Assumptions!$C$5*Assumptions!$C$8*$D$6*Assumptions!$C$10*Assumptions!$C$11*$D$7</f>
        <v/>
      </c>
    </row>
    <row r="12" ht="30" customHeight="1">
      <c r="A12" s="34" t="inlineStr">
        <is>
          <t>Annualised incremental GMV (Lens + retention lift)</t>
        </is>
      </c>
      <c r="B12" s="44">
        <f>($B$5*Assumptions!$C$5*Assumptions!$C$8*$B$6*Assumptions!$C$10*Assumptions!$C$11*$B$7*Assumptions!$C$13)*12 + Assumptions!$C$5*$B$5*Assumptions!$C$14*Assumptions!$C$13*12</f>
        <v/>
      </c>
      <c r="C12" s="44">
        <f>($C$5*Assumptions!$C$5*Assumptions!$C$8*$C$6*Assumptions!$C$10*Assumptions!$C$11*$C$7*Assumptions!$C$13)*12 + Assumptions!$C$5*$C$5*Assumptions!$C$14*Assumptions!$C$13*12</f>
        <v/>
      </c>
      <c r="D12" s="44">
        <f>($D$5*Assumptions!$C$5*Assumptions!$C$8*$D$6*Assumptions!$C$10*Assumptions!$C$11*$D$7*Assumptions!$C$13)*12 + Assumptions!$C$5*$D$5*Assumptions!$C$14*Assumptions!$C$13*12</f>
        <v/>
      </c>
    </row>
    <row r="13" ht="24" customHeight="1">
      <c r="A13" s="20" t="inlineStr">
        <is>
          <t>Net revenue - Lens</t>
        </is>
      </c>
      <c r="B13" s="45">
        <f>($B$5*Assumptions!$C$5*Assumptions!$C$8*$B$6*Assumptions!$C$10*Assumptions!$C$11*$B$7*Assumptions!$C$13)*12 + Assumptions!$C$5*$B$5*Assumptions!$C$14*Assumptions!$C$13*12*Assumptions!$C$15</f>
        <v/>
      </c>
      <c r="C13" s="45">
        <f>($C$5*Assumptions!$C$5*Assumptions!$C$8*$C$6*Assumptions!$C$10*Assumptions!$C$11*$C$7*Assumptions!$C$13)*12 + Assumptions!$C$5*$C$5*Assumptions!$C$14*Assumptions!$C$13*12*Assumptions!$C$15</f>
        <v/>
      </c>
      <c r="D13" s="45">
        <f>($D$5*Assumptions!$C$5*Assumptions!$C$8*$D$6*Assumptions!$C$10*Assumptions!$C$11*$D$7*Assumptions!$C$13)*12 + Assumptions!$C$5*$D$5*Assumptions!$C$14*Assumptions!$C$13*12*Assumptions!$C$15</f>
        <v/>
      </c>
    </row>
    <row r="14" ht="24" customHeight="1">
      <c r="A14" s="20" t="inlineStr">
        <is>
          <t>Net revenue - Smart Rates platform fee</t>
        </is>
      </c>
      <c r="B14" s="45">
        <f>Assumptions!$C$16*$B$8*Assumptions!$C$18</f>
        <v/>
      </c>
      <c r="C14" s="45">
        <f>Assumptions!$C$16*$C$8*Assumptions!$C$18</f>
        <v/>
      </c>
      <c r="D14" s="45">
        <f>Assumptions!$C$16*$D$8*Assumptions!$C$18</f>
        <v/>
      </c>
    </row>
    <row r="15" ht="30" customHeight="1">
      <c r="A15" s="34" t="inlineStr">
        <is>
          <t>TOTAL net revenue impact</t>
        </is>
      </c>
      <c r="B15" s="44">
        <f>($B$5*Assumptions!$C$5*Assumptions!$C$8*$B$6*Assumptions!$C$10*Assumptions!$C$11*$B$7*Assumptions!$C$13)*12 + Assumptions!$C$5*$B$5*Assumptions!$C$14*Assumptions!$C$13*12*Assumptions!$C$15 + Assumptions!$C$16*$B$8*Assumptions!$C$18</f>
        <v/>
      </c>
      <c r="C15" s="44">
        <f>($C$5*Assumptions!$C$5*Assumptions!$C$8*$C$6*Assumptions!$C$10*Assumptions!$C$11*$C$7*Assumptions!$C$13)*12 + Assumptions!$C$5*$C$5*Assumptions!$C$14*Assumptions!$C$13*12*Assumptions!$C$15 + Assumptions!$C$16*$C$8*Assumptions!$C$18</f>
        <v/>
      </c>
      <c r="D15" s="44">
        <f>($D$5*Assumptions!$C$5*Assumptions!$C$8*$D$6*Assumptions!$C$10*Assumptions!$C$11*$D$7*Assumptions!$C$13)*12 + Assumptions!$C$5*$D$5*Assumptions!$C$14*Assumptions!$C$13*12*Assumptions!$C$15 + Assumptions!$C$16*$D$8*Assumptions!$C$18</f>
        <v/>
      </c>
    </row>
    <row r="16" ht="24" customHeight="1">
      <c r="A16" s="20" t="inlineStr">
        <is>
          <t>M12 exit run-rate incl. MY + TW</t>
        </is>
      </c>
      <c r="B16" s="45">
        <f>(($B$5*Assumptions!$C$5*Assumptions!$C$8*$B$6*Assumptions!$C$10*Assumptions!$C$11*$B$7*Assumptions!$C$13)*12 + Assumptions!$C$5*$B$5*Assumptions!$C$14*Assumptions!$C$13*12*Assumptions!$C$15 + Assumptions!$C$16*$B$8*Assumptions!$C$18)*Assumptions!$C$21</f>
        <v/>
      </c>
      <c r="C16" s="45">
        <f>(($C$5*Assumptions!$C$5*Assumptions!$C$8*$C$6*Assumptions!$C$10*Assumptions!$C$11*$C$7*Assumptions!$C$13)*12 + Assumptions!$C$5*$C$5*Assumptions!$C$14*Assumptions!$C$13*12*Assumptions!$C$15 + Assumptions!$C$16*$C$8*Assumptions!$C$18)*Assumptions!$C$21</f>
        <v/>
      </c>
      <c r="D16" s="45">
        <f>(($D$5*Assumptions!$C$5*Assumptions!$C$8*$D$6*Assumptions!$C$10*Assumptions!$C$11*$D$7*Assumptions!$C$13)*12 + Assumptions!$C$5*$D$5*Assumptions!$C$14*Assumptions!$C$13*12*Assumptions!$C$15 + Assumptions!$C$16*$D$8*Assumptions!$C$18)*Assumptions!$C$21</f>
        <v/>
      </c>
    </row>
    <row r="18" ht="46" customHeight="1">
      <c r="A18" s="40" t="inlineStr">
        <is>
          <t>The argument is the asymmetry, not the base case. Conservative still produces a S$0.50M Singapore run-rate and a S$1.6M three-market exit run-rate. That does not cover S$2.6M of team cost in year one. Fund it if A-1 and A-4 clear their Phase 0 gates; kill it in month one if they do not.</t>
        </is>
      </c>
    </row>
  </sheetData>
  <mergeCells count="3">
    <mergeCell ref="A2:E2"/>
    <mergeCell ref="A1:E1"/>
    <mergeCell ref="A18:E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showGridLines="0" workbookViewId="0">
      <pane ySplit="3" topLeftCell="A4" activePane="bottomLeft" state="frozen"/>
      <selection pane="bottomLeft" activeCell="A1" sqref="A1"/>
    </sheetView>
  </sheetViews>
  <sheetFormatPr baseColWidth="8" defaultRowHeight="15"/>
  <cols>
    <col width="16" customWidth="1" min="1" max="1"/>
    <col width="34" customWidth="1" min="2" max="2"/>
    <col width="56" customWidth="1" min="3" max="3"/>
    <col width="18" customWidth="1" min="4" max="4"/>
    <col width="20" customWidth="1" min="5" max="5"/>
  </cols>
  <sheetData>
    <row r="1" ht="30" customHeight="1">
      <c r="A1" s="1" t="inlineStr">
        <is>
          <t>Metrics tree</t>
        </is>
      </c>
    </row>
    <row r="2" ht="20" customHeight="1">
      <c r="A2" s="2" t="inlineStr">
        <is>
          <t>North star, inputs, guardrails and the counter-metric that keeps us honest.</t>
        </is>
      </c>
    </row>
    <row r="4" ht="28" customHeight="1">
      <c r="A4" s="5" t="inlineStr">
        <is>
          <t>Tier</t>
        </is>
      </c>
      <c r="B4" s="5" t="inlineStr">
        <is>
          <t>Metric</t>
        </is>
      </c>
      <c r="C4" s="5" t="inlineStr">
        <is>
          <t>Definition</t>
        </is>
      </c>
      <c r="D4" s="5" t="inlineStr">
        <is>
          <t>M12 target</t>
        </is>
      </c>
      <c r="E4" s="5" t="inlineStr">
        <is>
          <t>Cadence / owner</t>
        </is>
      </c>
    </row>
    <row r="5" ht="38" customHeight="1">
      <c r="A5" s="46" t="inlineStr">
        <is>
          <t>NORTH STAR</t>
        </is>
      </c>
      <c r="B5" s="47" t="inlineStr">
        <is>
          <t>Incremental tracked GMV per MAU</t>
        </is>
      </c>
      <c r="C5" s="11" t="inlineStr">
        <is>
          <t>Tracked GMV attributable to Lens, measured against a randomised holdout, divided by monthly actives. Chosen over raw usage (inflatable) and raw GMV (rewards cannibalisation).</t>
        </is>
      </c>
      <c r="D5" s="48" t="inlineStr">
        <is>
          <t>+S$1.57 /mo</t>
        </is>
      </c>
      <c r="E5" s="9" t="inlineStr">
        <is>
          <t>Monthly / PM</t>
        </is>
      </c>
    </row>
    <row r="6" ht="38" customHeight="1">
      <c r="A6" s="49" t="inlineStr">
        <is>
          <t>Input</t>
        </is>
      </c>
      <c r="B6" s="7" t="inlineStr">
        <is>
          <t>Share-extension install rate</t>
        </is>
      </c>
      <c r="C6" s="11" t="inlineStr">
        <is>
          <t>Share of app users who have enabled the iOS/Android share target</t>
        </is>
      </c>
      <c r="D6" s="48" t="inlineStr">
        <is>
          <t>45%</t>
        </is>
      </c>
      <c r="E6" s="9" t="inlineStr">
        <is>
          <t>Weekly / PM</t>
        </is>
      </c>
    </row>
    <row r="7" ht="38" customHeight="1">
      <c r="A7" s="49" t="inlineStr">
        <is>
          <t>Input</t>
        </is>
      </c>
      <c r="B7" s="7" t="inlineStr">
        <is>
          <t>Lens MAU / total MAU</t>
        </is>
      </c>
      <c r="C7" s="11" t="inlineStr">
        <is>
          <t>Users submitting at least one item per month</t>
        </is>
      </c>
      <c r="D7" s="48" t="inlineStr">
        <is>
          <t>22%</t>
        </is>
      </c>
      <c r="E7" s="9" t="inlineStr">
        <is>
          <t>Weekly / PM</t>
        </is>
      </c>
    </row>
    <row r="8" ht="38" customHeight="1">
      <c r="A8" s="49" t="inlineStr">
        <is>
          <t>Input</t>
        </is>
      </c>
      <c r="B8" s="7" t="inlineStr">
        <is>
          <t>Submissions per Lens user</t>
        </is>
      </c>
      <c r="C8" s="11" t="inlineStr">
        <is>
          <t>Capture habit strength. Below 1.5 means novelty, not habit.</t>
        </is>
      </c>
      <c r="D8" s="48" t="inlineStr">
        <is>
          <t>3.2</t>
        </is>
      </c>
      <c r="E8" s="9" t="inlineStr">
        <is>
          <t>Weekly / PM</t>
        </is>
      </c>
    </row>
    <row r="9" ht="38" customHeight="1">
      <c r="A9" s="49" t="inlineStr">
        <is>
          <t>Input</t>
        </is>
      </c>
      <c r="B9" s="7" t="inlineStr">
        <is>
          <t>Match rate by path</t>
        </is>
      </c>
      <c r="C9" s="11" t="inlineStr">
        <is>
          <t>Confident matches, split URL / image / text. Diagnoses catalogue gaps.</t>
        </is>
      </c>
      <c r="D9" s="48" t="inlineStr">
        <is>
          <t>78% blended</t>
        </is>
      </c>
      <c r="E9" s="9" t="inlineStr">
        <is>
          <t>Weekly / Eng</t>
        </is>
      </c>
    </row>
    <row r="10" ht="38" customHeight="1">
      <c r="A10" s="49" t="inlineStr">
        <is>
          <t>Input</t>
        </is>
      </c>
      <c r="B10" s="7" t="inlineStr">
        <is>
          <t>Time to first answer, p50 / p95</t>
        </is>
      </c>
      <c r="C10" s="11" t="inlineStr">
        <is>
          <t>Capture tap to rendered price card</t>
        </is>
      </c>
      <c r="D10" s="48" t="inlineStr">
        <is>
          <t>1.1s / 2.5s</t>
        </is>
      </c>
      <c r="E10" s="9" t="inlineStr">
        <is>
          <t>Daily / Eng</t>
        </is>
      </c>
    </row>
    <row r="11" ht="38" customHeight="1">
      <c r="A11" s="49" t="inlineStr">
        <is>
          <t>Input</t>
        </is>
      </c>
      <c r="B11" s="7" t="inlineStr">
        <is>
          <t>Match to click-out</t>
        </is>
      </c>
      <c r="C11" s="11" t="inlineStr">
        <is>
          <t>Is the answer compelling enough to act on</t>
        </is>
      </c>
      <c r="D11" s="48" t="inlineStr">
        <is>
          <t>46%</t>
        </is>
      </c>
      <c r="E11" s="9" t="inlineStr">
        <is>
          <t>Weekly / PM</t>
        </is>
      </c>
    </row>
    <row r="12" ht="38" customHeight="1">
      <c r="A12" s="49" t="inlineStr">
        <is>
          <t>Input</t>
        </is>
      </c>
      <c r="B12" s="7" t="inlineStr">
        <is>
          <t>Click-out to order</t>
        </is>
      </c>
      <c r="C12" s="11" t="inlineStr">
        <is>
          <t>Benchmarked against current ShopBack click-out conversion</t>
        </is>
      </c>
      <c r="D12" s="48" t="inlineStr">
        <is>
          <t>9.5%</t>
        </is>
      </c>
      <c r="E12" s="9" t="inlineStr">
        <is>
          <t>Weekly / PM</t>
        </is>
      </c>
    </row>
    <row r="13" ht="38" customHeight="1">
      <c r="A13" s="49" t="inlineStr">
        <is>
          <t>Input</t>
        </is>
      </c>
      <c r="B13" s="7" t="inlineStr">
        <is>
          <t>Watchlist alert to return rate</t>
        </is>
      </c>
      <c r="C13" s="11" t="inlineStr">
        <is>
          <t>The frequency engine. Drives sessions between purchases.</t>
        </is>
      </c>
      <c r="D13" s="48" t="inlineStr">
        <is>
          <t>28%</t>
        </is>
      </c>
      <c r="E13" s="9" t="inlineStr">
        <is>
          <t>Weekly / PM</t>
        </is>
      </c>
    </row>
    <row r="14" ht="38" customHeight="1">
      <c r="A14" s="49" t="inlineStr">
        <is>
          <t>Business</t>
        </is>
      </c>
      <c r="B14" s="7" t="inlineStr">
        <is>
          <t>Incremental orders and GMV</t>
        </is>
      </c>
      <c r="C14" s="11" t="inlineStr">
        <is>
          <t>Read off the holdout, never off Lens-cohort behaviour alone</t>
        </is>
      </c>
      <c r="D14" s="48" t="inlineStr">
        <is>
          <t>7.9k orders/mo</t>
        </is>
      </c>
      <c r="E14" s="9" t="inlineStr">
        <is>
          <t>Monthly / Finance</t>
        </is>
      </c>
    </row>
    <row r="15" ht="38" customHeight="1">
      <c r="A15" s="49" t="inlineStr">
        <is>
          <t>Business</t>
        </is>
      </c>
      <c r="B15" s="7" t="inlineStr">
        <is>
          <t>Smart Rates budget under management</t>
        </is>
      </c>
      <c r="C15" s="11" t="inlineStr">
        <is>
          <t>Committed monthly merchant cashback budget across participating merchants</t>
        </is>
      </c>
      <c r="D15" s="48" t="inlineStr">
        <is>
          <t>S$0.6M/mo</t>
        </is>
      </c>
      <c r="E15" s="9" t="inlineStr">
        <is>
          <t>Monthly / BD</t>
        </is>
      </c>
    </row>
    <row r="16" ht="38" customHeight="1">
      <c r="A16" s="49" t="inlineStr">
        <is>
          <t>Business</t>
        </is>
      </c>
      <c r="B16" s="7" t="inlineStr">
        <is>
          <t>Blended retained margin</t>
        </is>
      </c>
      <c r="C16" s="11" t="inlineStr">
        <is>
          <t>Platform fee collected on participating GMV, in basis points. Extra cashback is a pass-through and is not this number.</t>
        </is>
      </c>
      <c r="D16" s="48" t="inlineStr">
        <is>
          <t>71 bps on participating GMV</t>
        </is>
      </c>
      <c r="E16" s="9" t="inlineStr">
        <is>
          <t>Monthly / Finance</t>
        </is>
      </c>
    </row>
    <row r="17" ht="38" customHeight="1">
      <c r="A17" s="49" t="inlineStr">
        <is>
          <t>Business</t>
        </is>
      </c>
      <c r="B17" s="7" t="inlineStr">
        <is>
          <t>New + lapsed customers delivered</t>
        </is>
      </c>
      <c r="C17" s="11" t="inlineStr">
        <is>
          <t>The number merchants actually buy. The BD pitch lives or dies here.</t>
        </is>
      </c>
      <c r="D17" s="48" t="inlineStr">
        <is>
          <t>Report weekly</t>
        </is>
      </c>
      <c r="E17" s="9" t="inlineStr">
        <is>
          <t>Monthly / BD</t>
        </is>
      </c>
    </row>
    <row r="18" ht="38" customHeight="1">
      <c r="A18" s="50" t="inlineStr">
        <is>
          <t>GUARDRAIL</t>
        </is>
      </c>
      <c r="B18" s="7" t="inlineStr">
        <is>
          <t>False-match rate</t>
        </is>
      </c>
      <c r="C18" s="11" t="inlineStr">
        <is>
          <t>Wrong product shown with high confidence. Breach blocks rollout.</t>
        </is>
      </c>
      <c r="D18" s="48" t="inlineStr">
        <is>
          <t>&lt;= 3%</t>
        </is>
      </c>
      <c r="E18" s="9" t="inlineStr">
        <is>
          <t>Weekly / Eng</t>
        </is>
      </c>
    </row>
    <row r="19" ht="38" customHeight="1">
      <c r="A19" s="50" t="inlineStr">
        <is>
          <t>GUARDRAIL</t>
        </is>
      </c>
      <c r="B19" s="7" t="inlineStr">
        <is>
          <t>Cost per resolution</t>
        </is>
      </c>
      <c r="C19" s="11" t="inlineStr">
        <is>
          <t>Inference + feeds + infra, blended across all paths</t>
        </is>
      </c>
      <c r="D19" s="48" t="inlineStr">
        <is>
          <t>&lt;= S$0.02</t>
        </is>
      </c>
      <c r="E19" s="9" t="inlineStr">
        <is>
          <t>Daily / Eng</t>
        </is>
      </c>
    </row>
    <row r="20" ht="38" customHeight="1">
      <c r="A20" s="50" t="inlineStr">
        <is>
          <t>GUARDRAIL</t>
        </is>
      </c>
      <c r="B20" s="7" t="inlineStr">
        <is>
          <t>Rate floor violations</t>
        </is>
      </c>
      <c r="C20" s="11" t="inlineStr">
        <is>
          <t>Any user shown a rate below the published base rate. Automated alert, zero tolerance.</t>
        </is>
      </c>
      <c r="D20" s="48" t="inlineStr">
        <is>
          <t>0</t>
        </is>
      </c>
      <c r="E20" s="9" t="inlineStr">
        <is>
          <t>Real-time / Eng</t>
        </is>
      </c>
    </row>
    <row r="21" ht="38" customHeight="1">
      <c r="A21" s="50" t="inlineStr">
        <is>
          <t>GUARDRAIL</t>
        </is>
      </c>
      <c r="B21" s="7" t="inlineStr">
        <is>
          <t>Merchant churn</t>
        </is>
      </c>
      <c r="C21" s="11" t="inlineStr">
        <is>
          <t>No worse than pre-launch baseline</t>
        </is>
      </c>
      <c r="D21" s="48" t="inlineStr">
        <is>
          <t>&lt;= baseline</t>
        </is>
      </c>
      <c r="E21" s="9" t="inlineStr">
        <is>
          <t>Monthly / BD</t>
        </is>
      </c>
    </row>
    <row r="22" ht="38" customHeight="1">
      <c r="A22" s="50" t="inlineStr">
        <is>
          <t>GUARDRAIL</t>
        </is>
      </c>
      <c r="B22" s="7" t="inlineStr">
        <is>
          <t>Support contacts per 1k Lens sessions</t>
        </is>
      </c>
      <c r="C22" s="11" t="inlineStr">
        <is>
          <t>Flat or falling</t>
        </is>
      </c>
      <c r="D22" s="48" t="inlineStr">
        <is>
          <t>&lt;= baseline</t>
        </is>
      </c>
      <c r="E22" s="9" t="inlineStr">
        <is>
          <t>Weekly / Support</t>
        </is>
      </c>
    </row>
    <row r="23" ht="38" customHeight="1">
      <c r="A23" s="51" t="inlineStr">
        <is>
          <t>COUNTER</t>
        </is>
      </c>
      <c r="B23" s="47" t="inlineStr">
        <is>
          <t>Tracked orders per user, NON-Lens cohort</t>
        </is>
      </c>
      <c r="C23" s="11" t="inlineStr">
        <is>
          <t>If Lens creates value this stays flat while the Lens cohort rises. If it falls, Lens is redistributing, not creating - and we would rather find that ourselves than have Finance find it.</t>
        </is>
      </c>
      <c r="D23" s="48" t="inlineStr">
        <is>
          <t>Flat</t>
        </is>
      </c>
      <c r="E23" s="9" t="inlineStr">
        <is>
          <t>Monthly / PM</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2026-09-29T03:21:32Z</dcterms:created>
  <dcterms:modified xmlns:dcterms="http://purl.org/dc/terms/" xmlns:xsi="http://www.w3.org/2001/XMLSchema-instance" xsi:type="dcterms:W3CDTF">2026-09-29T03:21:32Z</dcterms:modified>
</cp:coreProperties>
</file>